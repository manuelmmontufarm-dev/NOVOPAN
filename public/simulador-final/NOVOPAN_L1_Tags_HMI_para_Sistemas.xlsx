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ags" sheetId="2" state="visible" r:id="rId4"/>
    <sheet name="Por confirmar" sheetId="3" state="visible" r:id="rId5"/>
  </sheets>
  <definedNames>
    <definedName function="false" hidden="true" localSheetId="1" name="_xlnm._FilterDatabase" vbProcedure="false">Tags!$A$1:$H$38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<sst xmlns="http://schemas.openxmlformats.org/spreadsheetml/2006/main" count="334" uniqueCount="174">
  <si>
    <t xml:space="preserve">NOVOPAN · Línea 1 — Tags del HMI para el simulador de trazabilidad</t>
  </si>
  <si>
    <t xml:space="preserve">Solicitud al área de Sistemas · 21-jul-2026</t>
  </si>
  <si>
    <t xml:space="preserve">Qué se necesita</t>
  </si>
  <si>
    <t xml:space="preserve">En una frase</t>
  </si>
  <si>
    <t xml:space="preserve">Que un job escriba tres archivos de texto con los valores de los tags que ya existen en los HMI. No hay que programar ningún servicio web, API ni endpoint.</t>
  </si>
  <si>
    <t xml:space="preserve">Dónde se escriben</t>
  </si>
  <si>
    <t xml:space="preserve">En la carpeta datos/ del sitio del simulador. Un archivo por servidor WinCC:</t>
  </si>
  <si>
    <t xml:space="preserve">datos/hmi-formacion.csv      ←  servidor de Formación (HMI-METSO, 700 tags)</t>
  </si>
  <si>
    <t xml:space="preserve">datos/hmi-encolado.csv       ←  servidor de Encolado / cocina de cola (420 tags)</t>
  </si>
  <si>
    <t xml:space="preserve">datos/hmi-preparacion.csv    ←  servidor de Preparación / secado (586 tags)</t>
  </si>
  <si>
    <t xml:space="preserve">Por qué tres y no uno</t>
  </si>
  <si>
    <t xml:space="preserve">Dos servidores publican un tag con el MISMO nombre y distinto significado (H_PressSpeed_PV es "Press speed" en Formación y "Press Conveyor Speed" en Encolado). Si van en un solo archivo, uno pisa al otro. Separados, el simulador sabe cuál es cuál.</t>
  </si>
  <si>
    <t xml:space="preserve">Cada cuánto</t>
  </si>
  <si>
    <t xml:space="preserve">El simulador relee los archivos cada 2 segundos. Si el job puede escribir más lento (5 s, 10 s, 1 min) también sirve — nada se rompe, solo baja la resolución.</t>
  </si>
  <si>
    <t xml:space="preserve">Formato del archivo</t>
  </si>
  <si>
    <t xml:space="preserve">Una línea por tag</t>
  </si>
  <si>
    <t xml:space="preserve">NOMBRE_DEL_TAG: valor;      ← dos puntos separan, punto y coma termina</t>
  </si>
  <si>
    <t xml:space="preserve">Nombres</t>
  </si>
  <si>
    <t xml:space="preserve">EXACTAMENTE como aparecen en WinCC. No hay que renombrar nada — el simulador traduce. Se respetan mayúsculas, guiones y hasta los errores de tipeo de fábrica.</t>
  </si>
  <si>
    <t xml:space="preserve">Decimal</t>
  </si>
  <si>
    <t xml:space="preserve">Punto o coma, los dos sirven (14.5 y 14,5 son iguales).</t>
  </si>
  <si>
    <t xml:space="preserve">Comentarios</t>
  </si>
  <si>
    <t xml:space="preserve">Líneas que empiezan con # se ignoran.</t>
  </si>
  <si>
    <t xml:space="preserve">Tag pendiente</t>
  </si>
  <si>
    <t xml:space="preserve">Dejarlo con el valor vacío (NOMBRE_DEL_TAG:;). El simulador lo marca como pendiente y no rompe nada.</t>
  </si>
  <si>
    <t xml:space="preserve">Tag que no conozca</t>
  </si>
  <si>
    <t xml:space="preserve">Se ignora con un aviso. Mandar de más NO rompe el archivo — si tienen dudas, es preferible incluirlo.</t>
  </si>
  <si>
    <t xml:space="preserve">Ejemplo real de datos/hmi-formacion.csv</t>
  </si>
  <si>
    <t xml:space="preserve"># NOVOPAN L1 · Formación · generado 2026-07-21 10:15:03</t>
  </si>
  <si>
    <t xml:space="preserve">H_PressSpeed_PV: 14.5;</t>
  </si>
  <si>
    <t xml:space="preserve">H_Act_MatWeight_SP: 11.5;</t>
  </si>
  <si>
    <t xml:space="preserve">H_CL_Total_Flakes: 118;</t>
  </si>
  <si>
    <t xml:space="preserve">H_Act_SL1_SP: 47.1;</t>
  </si>
  <si>
    <t xml:space="preserve">H_FL_FormConv_Speed_PV:;      # todavía no lo estamos mandando</t>
  </si>
  <si>
    <t xml:space="preserve">Resumen de lo pedido</t>
  </si>
  <si>
    <t xml:space="preserve">Total de tags solicitados</t>
  </si>
  <si>
    <t xml:space="preserve">Prioridad 1 · Crítico</t>
  </si>
  <si>
    <t xml:space="preserve">Prioridad 2 · Deseado</t>
  </si>
  <si>
    <t xml:space="preserve">Prioridad 3 · Opcional</t>
  </si>
  <si>
    <t xml:space="preserve">Puntos por confirmar</t>
  </si>
  <si>
    <t xml:space="preserve">Si algo no se entiende, escribir a Manuel Montúfar (pasantía de ingeniería) antes de improvisar un nombre de tag.</t>
  </si>
  <si>
    <t xml:space="preserve">Servidor</t>
  </si>
  <si>
    <t xml:space="preserve">Archivo CSV destino</t>
  </si>
  <si>
    <t xml:space="preserve">Tag en WinCC (nombre exacto)</t>
  </si>
  <si>
    <t xml:space="preserve">Access Name</t>
  </si>
  <si>
    <t xml:space="preserve">Qué es</t>
  </si>
  <si>
    <t xml:space="preserve">Unidad</t>
  </si>
  <si>
    <t xml:space="preserve">Prioridad</t>
  </si>
  <si>
    <t xml:space="preserve">Nota</t>
  </si>
  <si>
    <t xml:space="preserve">Formación</t>
  </si>
  <si>
    <t xml:space="preserve">datos/hmi-formacion.csv</t>
  </si>
  <si>
    <t xml:space="preserve">H_PressSpeed_PV</t>
  </si>
  <si>
    <t xml:space="preserve">Forming</t>
  </si>
  <si>
    <t xml:space="preserve">Velocidad de prensa</t>
  </si>
  <si>
    <t xml:space="preserve">m/min</t>
  </si>
  <si>
    <t xml:space="preserve">1 · Crítico</t>
  </si>
  <si>
    <t xml:space="preserve">Confirmado. Es el máster de toda la línea.</t>
  </si>
  <si>
    <t xml:space="preserve">H_Act_MatWeight_SP</t>
  </si>
  <si>
    <t xml:space="preserve">Peso de manta después de formación</t>
  </si>
  <si>
    <t xml:space="preserve">kg/m²</t>
  </si>
  <si>
    <t xml:space="preserve">Confirmado. OJO: NO usar H_Act_MatWeight_Real, ese está en kg (báscula), no en kg/m².</t>
  </si>
  <si>
    <t xml:space="preserve">H_CL_Total_Flakes</t>
  </si>
  <si>
    <t xml:space="preserve">Flujo total de capa gruesa (core · CL)</t>
  </si>
  <si>
    <t xml:space="preserve">kg/min</t>
  </si>
  <si>
    <t xml:space="preserve">Confirmado.</t>
  </si>
  <si>
    <t xml:space="preserve">H_Act_SL1_SP</t>
  </si>
  <si>
    <t xml:space="preserve">% de receta de la capa fina inferior (SL1)</t>
  </si>
  <si>
    <t xml:space="preserve">%</t>
  </si>
  <si>
    <t xml:space="preserve">H_FL_FormConv_Speed_PV</t>
  </si>
  <si>
    <t xml:space="preserve">Velocidad de la banda de formación</t>
  </si>
  <si>
    <t xml:space="preserve">2 · Deseado</t>
  </si>
  <si>
    <t xml:space="preserve">Hoy el simulador la asume igual a la de prensa. Con este tag deja de suponer.</t>
  </si>
  <si>
    <t xml:space="preserve">H_FL_FormConv_Speed_Mode</t>
  </si>
  <si>
    <t xml:space="preserve">Banda sigue a la prensa (1) o va en manual (0)</t>
  </si>
  <si>
    <t xml:space="preserve">0/1</t>
  </si>
  <si>
    <t xml:space="preserve">H_PP_Upper_Speed_PV</t>
  </si>
  <si>
    <t xml:space="preserve">Velocidad de pre-prensa, accionamiento superior</t>
  </si>
  <si>
    <t xml:space="preserve">H_PP_Lower_Speed_PV</t>
  </si>
  <si>
    <t xml:space="preserve">Velocidad de pre-prensa, accionamiento inferior</t>
  </si>
  <si>
    <t xml:space="preserve">H_SL1_Filling_PV</t>
  </si>
  <si>
    <t xml:space="preserve">Llenado de la tolva del esparcidor SL1</t>
  </si>
  <si>
    <t xml:space="preserve">H_CC_Filling_PV</t>
  </si>
  <si>
    <t xml:space="preserve">Llenado de la tolva del esparcidor de core</t>
  </si>
  <si>
    <t xml:space="preserve">H_SL2_Filling_PV</t>
  </si>
  <si>
    <t xml:space="preserve">Llenado de la tolva del esparcidor SL2</t>
  </si>
  <si>
    <t xml:space="preserve">H_Empty_ON</t>
  </si>
  <si>
    <t xml:space="preserve">Vaciado de esparcidores en curso</t>
  </si>
  <si>
    <t xml:space="preserve">Sirve para calibrar cuántos kg cabe en cada tolva sin tener que buscarlo en planos.</t>
  </si>
  <si>
    <t xml:space="preserve">H_MaterialFlow_TonsPerHour</t>
  </si>
  <si>
    <t xml:space="preserve">Flujo total de material de la línea</t>
  </si>
  <si>
    <t xml:space="preserve">t/h</t>
  </si>
  <si>
    <t xml:space="preserve">3 · Opcional</t>
  </si>
  <si>
    <t xml:space="preserve">Validación cruzada contra los flujos por capa.</t>
  </si>
  <si>
    <t xml:space="preserve">H_Moisure_PV</t>
  </si>
  <si>
    <t xml:space="preserve">Humedad (instrumento PEW758)</t>
  </si>
  <si>
    <t xml:space="preserve">H_TrimSaw_Width</t>
  </si>
  <si>
    <t xml:space="preserve">Ancho de refilado</t>
  </si>
  <si>
    <t xml:space="preserve">mm</t>
  </si>
  <si>
    <t xml:space="preserve">IMAN_AUTO</t>
  </si>
  <si>
    <t xml:space="preserve">Imán en automático</t>
  </si>
  <si>
    <t xml:space="preserve">P_Act_LineSpeed_SP</t>
  </si>
  <si>
    <t xml:space="preserve">Press</t>
  </si>
  <si>
    <t xml:space="preserve">Velocidad de línea</t>
  </si>
  <si>
    <t xml:space="preserve">Q_Act_PanelLength</t>
  </si>
  <si>
    <t xml:space="preserve">POF</t>
  </si>
  <si>
    <t xml:space="preserve">Largo del tablero terminado</t>
  </si>
  <si>
    <t xml:space="preserve">Q_Act_PanelWidth</t>
  </si>
  <si>
    <t xml:space="preserve">Ancho del tablero terminado</t>
  </si>
  <si>
    <t xml:space="preserve">Q_Act_FinalThickness</t>
  </si>
  <si>
    <t xml:space="preserve">Espesor final del tablero</t>
  </si>
  <si>
    <t xml:space="preserve">Q_Act_PanelAmount</t>
  </si>
  <si>
    <t xml:space="preserve">Conteo de tableros de la orden</t>
  </si>
  <si>
    <t xml:space="preserve">u</t>
  </si>
  <si>
    <t xml:space="preserve">Encolado</t>
  </si>
  <si>
    <t xml:space="preserve">datos/hmi-encolado.csv</t>
  </si>
  <si>
    <t xml:space="preserve">F_SL_FlakeFlow_PV</t>
  </si>
  <si>
    <t xml:space="preserve">Gluing</t>
  </si>
  <si>
    <t xml:space="preserve">Flujo total de capa fina (SL)</t>
  </si>
  <si>
    <t xml:space="preserve">kg/min ⚠</t>
  </si>
  <si>
    <t xml:space="preserve">CONFIRMAR UNIDAD: el comentario del HMI no la declara. Asumimos kg/min por simetría.</t>
  </si>
  <si>
    <t xml:space="preserve">F_CL_DosBin_Weight</t>
  </si>
  <si>
    <t xml:space="preserve">Peso en la tolva dosificadora gruesa</t>
  </si>
  <si>
    <t xml:space="preserve">kg</t>
  </si>
  <si>
    <t xml:space="preserve">F_SL_DosBin_Weight</t>
  </si>
  <si>
    <t xml:space="preserve">Peso en la tolva dosificadora fina</t>
  </si>
  <si>
    <t xml:space="preserve">F_CL_Filling_PV</t>
  </si>
  <si>
    <t xml:space="preserve">Nivel de la tolva dosificadora gruesa</t>
  </si>
  <si>
    <t xml:space="preserve">F_SL_Filling_PV</t>
  </si>
  <si>
    <t xml:space="preserve">Nivel de la tolva dosificadora fina</t>
  </si>
  <si>
    <t xml:space="preserve">F_CL_FlakeDens_PV</t>
  </si>
  <si>
    <t xml:space="preserve">Densidad de flakes en la dosificadora gruesa</t>
  </si>
  <si>
    <t xml:space="preserve">kg/m³</t>
  </si>
  <si>
    <t xml:space="preserve">Se usa como densidad del silo 5 (core): el bin se llena directo del silo con el mismo material.</t>
  </si>
  <si>
    <t xml:space="preserve">F_SL_FlakeDens_PV</t>
  </si>
  <si>
    <t xml:space="preserve">Densidad de flakes en la dosificadora fina</t>
  </si>
  <si>
    <t xml:space="preserve">Se usa como densidad del silo 6 (capa fina).</t>
  </si>
  <si>
    <t xml:space="preserve">F_CL_FlakeFlow_PV</t>
  </si>
  <si>
    <t xml:space="preserve">Flujo de capa gruesa</t>
  </si>
  <si>
    <t xml:space="preserve">Redundante con H_CL_Total_Flakes. Sirve para contrastar.</t>
  </si>
  <si>
    <t xml:space="preserve">F_CL_DosBin_Speed</t>
  </si>
  <si>
    <t xml:space="preserve">Velocidad de la banda dosificadora gruesa</t>
  </si>
  <si>
    <t xml:space="preserve">—</t>
  </si>
  <si>
    <t xml:space="preserve">F_SL_DosBin_Speed</t>
  </si>
  <si>
    <t xml:space="preserve">Velocidad de la banda dosificadora fina</t>
  </si>
  <si>
    <t xml:space="preserve">— NO INCLUIR —</t>
  </si>
  <si>
    <t xml:space="preserve">H_PressSpeed_PV y H_SL_FlakeDens_SP</t>
  </si>
  <si>
    <t xml:space="preserve">Estos dos existen también en Formación con otro significado. Mandarlos desde acá causa conflicto: NO ponerlos en este archivo.</t>
  </si>
  <si>
    <t xml:space="preserve">Preparación</t>
  </si>
  <si>
    <t xml:space="preserve">datos/hmi-preparacion.csv</t>
  </si>
  <si>
    <t xml:space="preserve">066_C_Dry_Material_CL_Level</t>
  </si>
  <si>
    <t xml:space="preserve">SCRN</t>
  </si>
  <si>
    <t xml:space="preserve">Silo 5 (capa interna · core) — nivel</t>
  </si>
  <si>
    <t xml:space="preserve">Confirmado en pantalla 21-jul. Comment: "Nivel silo capa interna %".</t>
  </si>
  <si>
    <t xml:space="preserve">066_C_Dry_Material_CL_discharge</t>
  </si>
  <si>
    <t xml:space="preserve">Silo 5 (capa interna · core) — descarga</t>
  </si>
  <si>
    <t xml:space="preserve">kg/h</t>
  </si>
  <si>
    <t xml:space="preserve">Confirmado. MANDAR EL VALOR CRUDO EN kg/h — el simulador convierte a kg/min. No dividir entre 60.</t>
  </si>
  <si>
    <t xml:space="preserve">066_C_Dry_Material_SL_Level</t>
  </si>
  <si>
    <t xml:space="preserve">Silo 6 (capa externa · fina) — nivel</t>
  </si>
  <si>
    <t xml:space="preserve">Confirmado en pantalla 21-jul. Comment: "Nivel silo capa externa %".</t>
  </si>
  <si>
    <t xml:space="preserve">066_C_Dry_Material_SL_discharge</t>
  </si>
  <si>
    <t xml:space="preserve">Silo 6 (capa externa · fina) — descarga</t>
  </si>
  <si>
    <t xml:space="preserve">Confirmado. MANDAR EL VALOR CRUDO EN kg/h — el simulador convierte. No dividir entre 60.</t>
  </si>
  <si>
    <t xml:space="preserve">Prensa_metal_detector</t>
  </si>
  <si>
    <t xml:space="preserve">Prensa</t>
  </si>
  <si>
    <t xml:space="preserve">Metal detectado en el material (detector a 37.69 m)</t>
  </si>
  <si>
    <t xml:space="preserve">Está en el servidor de Preparación aunque el equipo es de Sección 2.</t>
  </si>
  <si>
    <t xml:space="preserve">Tema</t>
  </si>
  <si>
    <t xml:space="preserve">Qué necesitamos</t>
  </si>
  <si>
    <t xml:space="preserve">A quién</t>
  </si>
  <si>
    <t xml:space="preserve">Por qué importa</t>
  </si>
  <si>
    <t xml:space="preserve">¿En qué unidad está F_SL_FlakeFlow_PV? Su comentario dice solo "SL flake flow".</t>
  </si>
  <si>
    <t xml:space="preserve">Sistemas</t>
  </si>
  <si>
    <t xml:space="preserve">Lo estamos usando como kg/min. Si es kg/h, el modelo se equivoca por 60×.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</si>
</sst>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5E2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666666"/>
      <name val="Courier New"/>
      <family val="0"/>
      <charset val="1"/>
    </font>
    <font>
      <sz val="10"/>
      <color rgb="FF000000"/>
      <name val="Courier New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Courier New"/>
      <family val="0"/>
      <charset val="1"/>
    </font>
    <font>
      <b val="true"/>
      <sz val="10"/>
      <color rgb="FFB000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F3EE"/>
      </patternFill>
    </fill>
    <fill>
      <patternFill patternType="solid">
        <fgColor rgb="FF1B5E20"/>
        <bgColor rgb="FF333333"/>
      </patternFill>
    </fill>
    <fill>
      <patternFill patternType="solid">
        <fgColor rgb="FFFFFFFF"/>
        <bgColor rgb="FFF7F9F7"/>
      </patternFill>
    </fill>
    <fill>
      <patternFill patternType="solid">
        <fgColor rgb="FFF7F9F7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EEF3E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5E20"/>
          <bgColor rgb="FF000000"/>
        </patternFill>
      </fill>
    </dxf>
    <dxf>
      <fill>
        <patternFill patternType="solid">
          <fgColor rgb="FFEEF3EE"/>
          <bgColor rgb="FF000000"/>
        </patternFill>
      </fill>
    </dxf>
    <dxf>
      <fill>
        <patternFill patternType="solid">
          <fgColor rgb="FFF7F9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B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E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8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  <c r="C6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C9" s="6" t="s">
        <v>7</v>
      </c>
    </row>
    <row r="10" customFormat="false" ht="15" hidden="false" customHeight="false" outlineLevel="0" collapsed="false">
      <c r="C10" s="6" t="s">
        <v>8</v>
      </c>
    </row>
    <row r="11" customFormat="false" ht="15" hidden="false" customHeight="false" outlineLevel="0" collapsed="false">
      <c r="C11" s="6" t="s">
        <v>9</v>
      </c>
    </row>
    <row r="13" customFormat="false" ht="42" hidden="false" customHeight="true" outlineLevel="0" collapsed="false">
      <c r="B13" s="4" t="s">
        <v>10</v>
      </c>
      <c r="C13" s="5" t="s">
        <v>11</v>
      </c>
    </row>
    <row r="15" customFormat="false" ht="30" hidden="false" customHeight="true" outlineLevel="0" collapsed="false">
      <c r="B15" s="4" t="s">
        <v>12</v>
      </c>
      <c r="C15" s="5" t="s">
        <v>13</v>
      </c>
    </row>
    <row r="17" customFormat="false" ht="1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4" t="s">
        <v>15</v>
      </c>
      <c r="C18" s="5" t="s">
        <v>16</v>
      </c>
    </row>
    <row r="19" customFormat="false" ht="30" hidden="false" customHeight="true" outlineLevel="0" collapsed="false">
      <c r="B19" s="4" t="s">
        <v>17</v>
      </c>
      <c r="C19" s="5" t="s">
        <v>18</v>
      </c>
    </row>
    <row r="20" customFormat="false" ht="15" hidden="false" customHeight="false" outlineLevel="0" collapsed="false">
      <c r="B20" s="4" t="s">
        <v>19</v>
      </c>
      <c r="C20" s="7" t="s">
        <v>20</v>
      </c>
    </row>
    <row r="21" customFormat="false" ht="15" hidden="false" customHeight="false" outlineLevel="0" collapsed="false">
      <c r="B21" s="4" t="s">
        <v>21</v>
      </c>
      <c r="C21" s="7" t="s">
        <v>22</v>
      </c>
    </row>
    <row r="22" customFormat="false" ht="26.85" hidden="false" customHeight="false" outlineLevel="0" collapsed="false">
      <c r="B22" s="4" t="s">
        <v>23</v>
      </c>
      <c r="C22" s="5" t="s">
        <v>24</v>
      </c>
    </row>
    <row r="23" customFormat="false" ht="26.85" hidden="false" customHeight="false" outlineLevel="0" collapsed="false">
      <c r="B23" s="4" t="s">
        <v>25</v>
      </c>
      <c r="C23" s="5" t="s">
        <v>26</v>
      </c>
    </row>
    <row r="25" customFormat="false" ht="15" hidden="false" customHeight="false" outlineLevel="0" collapsed="false">
      <c r="B25" s="3" t="s">
        <v>27</v>
      </c>
    </row>
    <row r="26" customFormat="false" ht="15" hidden="false" customHeight="false" outlineLevel="0" collapsed="false">
      <c r="C26" s="8" t="s">
        <v>28</v>
      </c>
    </row>
    <row r="27" customFormat="false" ht="15" hidden="false" customHeight="false" outlineLevel="0" collapsed="false">
      <c r="C27" s="9" t="s">
        <v>29</v>
      </c>
    </row>
    <row r="28" customFormat="false" ht="15" hidden="false" customHeight="false" outlineLevel="0" collapsed="false">
      <c r="C28" s="9" t="s">
        <v>30</v>
      </c>
    </row>
    <row r="29" customFormat="false" ht="15" hidden="false" customHeight="false" outlineLevel="0" collapsed="false">
      <c r="C29" s="9" t="s">
        <v>31</v>
      </c>
    </row>
    <row r="30" customFormat="false" ht="15" hidden="false" customHeight="false" outlineLevel="0" collapsed="false">
      <c r="C30" s="9" t="s">
        <v>32</v>
      </c>
    </row>
    <row r="31" customFormat="false" ht="15" hidden="false" customHeight="false" outlineLevel="0" collapsed="false">
      <c r="C31" s="9" t="s">
        <v>33</v>
      </c>
    </row>
    <row r="34" customFormat="false" ht="15" hidden="false" customHeight="false" outlineLevel="0" collapsed="false">
      <c r="B34" s="3" t="s">
        <v>34</v>
      </c>
    </row>
    <row r="35" customFormat="false" ht="15" hidden="false" customHeight="false" outlineLevel="0" collapsed="false">
      <c r="B35" s="10" t="s">
        <v>35</v>
      </c>
      <c r="C35" s="11" t="n">
        <f aca="false">COUNTA(Tags!C2:C100)</f>
        <v>37</v>
      </c>
    </row>
    <row r="36" customFormat="false" ht="15" hidden="false" customHeight="false" outlineLevel="0" collapsed="false">
      <c r="B36" s="12" t="s">
        <v>36</v>
      </c>
      <c r="C36" s="13" t="n">
        <f aca="false">COUNTIF(Tags!G2:G100,"1 · Crítico")</f>
        <v>13</v>
      </c>
    </row>
    <row r="37" customFormat="false" ht="15" hidden="false" customHeight="false" outlineLevel="0" collapsed="false">
      <c r="B37" s="12" t="s">
        <v>37</v>
      </c>
      <c r="C37" s="13" t="n">
        <f aca="false">COUNTIF(Tags!G2:G100,"2 · Deseado")</f>
        <v>11</v>
      </c>
    </row>
    <row r="38" customFormat="false" ht="15" hidden="false" customHeight="false" outlineLevel="0" collapsed="false">
      <c r="B38" s="12" t="s">
        <v>38</v>
      </c>
      <c r="C38" s="13" t="n">
        <f aca="false">COUNTIF(Tags!G2:G100,"3 · Opcional")</f>
        <v>12</v>
      </c>
    </row>
    <row r="39" customFormat="false" ht="15" hidden="false" customHeight="false" outlineLevel="0" collapsed="false">
      <c r="B39" s="12" t="s">
        <v>39</v>
      </c>
      <c r="C39" s="13" t="n">
        <f aca="false">COUNTA('Por confirmar'!B2:B40)</f>
        <v>1</v>
      </c>
    </row>
    <row r="41" customFormat="false" ht="46.25" hidden="false" customHeight="false" outlineLevel="0" collapsed="false">
      <c r="B41" s="1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30" hidden="false" customHeight="true" outlineLevel="0" collapsed="false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</row>
    <row r="2" customFormat="false" ht="15" hidden="false" customHeight="false" outlineLevel="0" collapsed="false">
      <c r="A2" s="16" t="s">
        <v>49</v>
      </c>
      <c r="B2" s="16" t="s">
        <v>50</v>
      </c>
      <c r="C2" s="17" t="s">
        <v>51</v>
      </c>
      <c r="D2" s="16" t="s">
        <v>52</v>
      </c>
      <c r="E2" s="18" t="s">
        <v>53</v>
      </c>
      <c r="F2" s="16" t="s">
        <v>54</v>
      </c>
      <c r="G2" s="19" t="s">
        <v>55</v>
      </c>
      <c r="H2" s="18" t="s">
        <v>56</v>
      </c>
    </row>
    <row r="3" customFormat="false" ht="23.85" hidden="false" customHeight="false" outlineLevel="0" collapsed="false">
      <c r="A3" s="16" t="s">
        <v>49</v>
      </c>
      <c r="B3" s="16" t="s">
        <v>50</v>
      </c>
      <c r="C3" s="17" t="s">
        <v>57</v>
      </c>
      <c r="D3" s="16" t="s">
        <v>52</v>
      </c>
      <c r="E3" s="18" t="s">
        <v>58</v>
      </c>
      <c r="F3" s="16" t="s">
        <v>59</v>
      </c>
      <c r="G3" s="19" t="s">
        <v>55</v>
      </c>
      <c r="H3" s="18" t="s">
        <v>60</v>
      </c>
    </row>
    <row r="4" customFormat="false" ht="15" hidden="false" customHeight="false" outlineLevel="0" collapsed="false">
      <c r="A4" s="16" t="s">
        <v>49</v>
      </c>
      <c r="B4" s="16" t="s">
        <v>50</v>
      </c>
      <c r="C4" s="17" t="s">
        <v>61</v>
      </c>
      <c r="D4" s="16" t="s">
        <v>52</v>
      </c>
      <c r="E4" s="18" t="s">
        <v>62</v>
      </c>
      <c r="F4" s="16" t="s">
        <v>63</v>
      </c>
      <c r="G4" s="19" t="s">
        <v>55</v>
      </c>
      <c r="H4" s="18" t="s">
        <v>64</v>
      </c>
    </row>
    <row r="5" customFormat="false" ht="15" hidden="false" customHeight="false" outlineLevel="0" collapsed="false">
      <c r="A5" s="16" t="s">
        <v>49</v>
      </c>
      <c r="B5" s="16" t="s">
        <v>50</v>
      </c>
      <c r="C5" s="17" t="s">
        <v>65</v>
      </c>
      <c r="D5" s="16" t="s">
        <v>52</v>
      </c>
      <c r="E5" s="18" t="s">
        <v>66</v>
      </c>
      <c r="F5" s="16" t="s">
        <v>67</v>
      </c>
      <c r="G5" s="19" t="s">
        <v>55</v>
      </c>
      <c r="H5" s="18" t="s">
        <v>64</v>
      </c>
    </row>
    <row r="6" customFormat="false" ht="23.85" hidden="false" customHeight="false" outlineLevel="0" collapsed="false">
      <c r="A6" s="16" t="s">
        <v>49</v>
      </c>
      <c r="B6" s="16" t="s">
        <v>50</v>
      </c>
      <c r="C6" s="17" t="s">
        <v>68</v>
      </c>
      <c r="D6" s="16" t="s">
        <v>52</v>
      </c>
      <c r="E6" s="18" t="s">
        <v>69</v>
      </c>
      <c r="F6" s="16" t="s">
        <v>54</v>
      </c>
      <c r="G6" s="16" t="s">
        <v>70</v>
      </c>
      <c r="H6" s="18" t="s">
        <v>71</v>
      </c>
    </row>
    <row r="7" customFormat="false" ht="15" hidden="false" customHeight="false" outlineLevel="0" collapsed="false">
      <c r="A7" s="16" t="s">
        <v>49</v>
      </c>
      <c r="B7" s="16" t="s">
        <v>50</v>
      </c>
      <c r="C7" s="17" t="s">
        <v>72</v>
      </c>
      <c r="D7" s="16" t="s">
        <v>52</v>
      </c>
      <c r="E7" s="18" t="s">
        <v>73</v>
      </c>
      <c r="F7" s="16" t="s">
        <v>74</v>
      </c>
      <c r="G7" s="16" t="s">
        <v>70</v>
      </c>
      <c r="H7" s="18"/>
    </row>
    <row r="8" customFormat="false" ht="15" hidden="false" customHeight="false" outlineLevel="0" collapsed="false">
      <c r="A8" s="16" t="s">
        <v>49</v>
      </c>
      <c r="B8" s="16" t="s">
        <v>50</v>
      </c>
      <c r="C8" s="17" t="s">
        <v>75</v>
      </c>
      <c r="D8" s="16" t="s">
        <v>52</v>
      </c>
      <c r="E8" s="18" t="s">
        <v>76</v>
      </c>
      <c r="F8" s="16" t="s">
        <v>54</v>
      </c>
      <c r="G8" s="16" t="s">
        <v>70</v>
      </c>
      <c r="H8" s="18"/>
    </row>
    <row r="9" customFormat="false" ht="15" hidden="false" customHeight="false" outlineLevel="0" collapsed="false">
      <c r="A9" s="16" t="s">
        <v>49</v>
      </c>
      <c r="B9" s="16" t="s">
        <v>50</v>
      </c>
      <c r="C9" s="17" t="s">
        <v>77</v>
      </c>
      <c r="D9" s="16" t="s">
        <v>52</v>
      </c>
      <c r="E9" s="18" t="s">
        <v>78</v>
      </c>
      <c r="F9" s="16" t="s">
        <v>54</v>
      </c>
      <c r="G9" s="16" t="s">
        <v>70</v>
      </c>
      <c r="H9" s="18"/>
    </row>
    <row r="10" customFormat="false" ht="15" hidden="false" customHeight="false" outlineLevel="0" collapsed="false">
      <c r="A10" s="16" t="s">
        <v>49</v>
      </c>
      <c r="B10" s="16" t="s">
        <v>50</v>
      </c>
      <c r="C10" s="17" t="s">
        <v>79</v>
      </c>
      <c r="D10" s="16" t="s">
        <v>52</v>
      </c>
      <c r="E10" s="18" t="s">
        <v>80</v>
      </c>
      <c r="F10" s="16" t="s">
        <v>67</v>
      </c>
      <c r="G10" s="16" t="s">
        <v>70</v>
      </c>
      <c r="H10" s="18"/>
    </row>
    <row r="11" customFormat="false" ht="15" hidden="false" customHeight="false" outlineLevel="0" collapsed="false">
      <c r="A11" s="16" t="s">
        <v>49</v>
      </c>
      <c r="B11" s="16" t="s">
        <v>50</v>
      </c>
      <c r="C11" s="17" t="s">
        <v>81</v>
      </c>
      <c r="D11" s="16" t="s">
        <v>52</v>
      </c>
      <c r="E11" s="18" t="s">
        <v>82</v>
      </c>
      <c r="F11" s="16" t="s">
        <v>67</v>
      </c>
      <c r="G11" s="16" t="s">
        <v>70</v>
      </c>
      <c r="H11" s="18"/>
    </row>
    <row r="12" customFormat="false" ht="15" hidden="false" customHeight="false" outlineLevel="0" collapsed="false">
      <c r="A12" s="16" t="s">
        <v>49</v>
      </c>
      <c r="B12" s="16" t="s">
        <v>50</v>
      </c>
      <c r="C12" s="17" t="s">
        <v>83</v>
      </c>
      <c r="D12" s="16" t="s">
        <v>52</v>
      </c>
      <c r="E12" s="18" t="s">
        <v>84</v>
      </c>
      <c r="F12" s="16" t="s">
        <v>67</v>
      </c>
      <c r="G12" s="16" t="s">
        <v>70</v>
      </c>
      <c r="H12" s="18"/>
    </row>
    <row r="13" customFormat="false" ht="23.85" hidden="false" customHeight="false" outlineLevel="0" collapsed="false">
      <c r="A13" s="16" t="s">
        <v>49</v>
      </c>
      <c r="B13" s="16" t="s">
        <v>50</v>
      </c>
      <c r="C13" s="17" t="s">
        <v>85</v>
      </c>
      <c r="D13" s="16" t="s">
        <v>52</v>
      </c>
      <c r="E13" s="18" t="s">
        <v>86</v>
      </c>
      <c r="F13" s="16" t="s">
        <v>74</v>
      </c>
      <c r="G13" s="16" t="s">
        <v>70</v>
      </c>
      <c r="H13" s="18" t="s">
        <v>87</v>
      </c>
    </row>
    <row r="14" customFormat="false" ht="15" hidden="false" customHeight="false" outlineLevel="0" collapsed="false">
      <c r="A14" s="16" t="s">
        <v>49</v>
      </c>
      <c r="B14" s="16" t="s">
        <v>50</v>
      </c>
      <c r="C14" s="17" t="s">
        <v>88</v>
      </c>
      <c r="D14" s="16" t="s">
        <v>52</v>
      </c>
      <c r="E14" s="18" t="s">
        <v>89</v>
      </c>
      <c r="F14" s="16" t="s">
        <v>90</v>
      </c>
      <c r="G14" s="16" t="s">
        <v>91</v>
      </c>
      <c r="H14" s="18" t="s">
        <v>92</v>
      </c>
    </row>
    <row r="15" customFormat="false" ht="15" hidden="false" customHeight="false" outlineLevel="0" collapsed="false">
      <c r="A15" s="16" t="s">
        <v>49</v>
      </c>
      <c r="B15" s="16" t="s">
        <v>50</v>
      </c>
      <c r="C15" s="17" t="s">
        <v>93</v>
      </c>
      <c r="D15" s="16" t="s">
        <v>52</v>
      </c>
      <c r="E15" s="18" t="s">
        <v>94</v>
      </c>
      <c r="F15" s="16" t="s">
        <v>67</v>
      </c>
      <c r="G15" s="16" t="s">
        <v>91</v>
      </c>
      <c r="H15" s="18"/>
    </row>
    <row r="16" customFormat="false" ht="15" hidden="false" customHeight="false" outlineLevel="0" collapsed="false">
      <c r="A16" s="16" t="s">
        <v>49</v>
      </c>
      <c r="B16" s="16" t="s">
        <v>50</v>
      </c>
      <c r="C16" s="17" t="s">
        <v>95</v>
      </c>
      <c r="D16" s="16" t="s">
        <v>52</v>
      </c>
      <c r="E16" s="18" t="s">
        <v>96</v>
      </c>
      <c r="F16" s="16" t="s">
        <v>97</v>
      </c>
      <c r="G16" s="16" t="s">
        <v>91</v>
      </c>
      <c r="H16" s="18"/>
    </row>
    <row r="17" customFormat="false" ht="15" hidden="false" customHeight="false" outlineLevel="0" collapsed="false">
      <c r="A17" s="16" t="s">
        <v>49</v>
      </c>
      <c r="B17" s="16" t="s">
        <v>50</v>
      </c>
      <c r="C17" s="17" t="s">
        <v>98</v>
      </c>
      <c r="D17" s="16" t="s">
        <v>52</v>
      </c>
      <c r="E17" s="18" t="s">
        <v>99</v>
      </c>
      <c r="F17" s="16" t="s">
        <v>74</v>
      </c>
      <c r="G17" s="16" t="s">
        <v>91</v>
      </c>
      <c r="H17" s="18"/>
    </row>
    <row r="18" customFormat="false" ht="15" hidden="false" customHeight="false" outlineLevel="0" collapsed="false">
      <c r="A18" s="16" t="s">
        <v>49</v>
      </c>
      <c r="B18" s="16" t="s">
        <v>50</v>
      </c>
      <c r="C18" s="17" t="s">
        <v>100</v>
      </c>
      <c r="D18" s="16" t="s">
        <v>101</v>
      </c>
      <c r="E18" s="18" t="s">
        <v>102</v>
      </c>
      <c r="F18" s="16" t="s">
        <v>54</v>
      </c>
      <c r="G18" s="16" t="s">
        <v>91</v>
      </c>
      <c r="H18" s="18"/>
    </row>
    <row r="19" customFormat="false" ht="15" hidden="false" customHeight="false" outlineLevel="0" collapsed="false">
      <c r="A19" s="16" t="s">
        <v>49</v>
      </c>
      <c r="B19" s="16" t="s">
        <v>50</v>
      </c>
      <c r="C19" s="17" t="s">
        <v>103</v>
      </c>
      <c r="D19" s="16" t="s">
        <v>104</v>
      </c>
      <c r="E19" s="18" t="s">
        <v>105</v>
      </c>
      <c r="F19" s="16" t="s">
        <v>97</v>
      </c>
      <c r="G19" s="16" t="s">
        <v>91</v>
      </c>
      <c r="H19" s="18"/>
    </row>
    <row r="20" customFormat="false" ht="15" hidden="false" customHeight="false" outlineLevel="0" collapsed="false">
      <c r="A20" s="16" t="s">
        <v>49</v>
      </c>
      <c r="B20" s="16" t="s">
        <v>50</v>
      </c>
      <c r="C20" s="17" t="s">
        <v>106</v>
      </c>
      <c r="D20" s="16" t="s">
        <v>104</v>
      </c>
      <c r="E20" s="18" t="s">
        <v>107</v>
      </c>
      <c r="F20" s="16" t="s">
        <v>97</v>
      </c>
      <c r="G20" s="16" t="s">
        <v>91</v>
      </c>
      <c r="H20" s="18"/>
    </row>
    <row r="21" customFormat="false" ht="15" hidden="false" customHeight="false" outlineLevel="0" collapsed="false">
      <c r="A21" s="16" t="s">
        <v>49</v>
      </c>
      <c r="B21" s="16" t="s">
        <v>50</v>
      </c>
      <c r="C21" s="17" t="s">
        <v>108</v>
      </c>
      <c r="D21" s="16" t="s">
        <v>104</v>
      </c>
      <c r="E21" s="18" t="s">
        <v>109</v>
      </c>
      <c r="F21" s="16" t="s">
        <v>97</v>
      </c>
      <c r="G21" s="16" t="s">
        <v>91</v>
      </c>
      <c r="H21" s="18"/>
    </row>
    <row r="22" customFormat="false" ht="15" hidden="false" customHeight="false" outlineLevel="0" collapsed="false">
      <c r="A22" s="16" t="s">
        <v>49</v>
      </c>
      <c r="B22" s="16" t="s">
        <v>50</v>
      </c>
      <c r="C22" s="17" t="s">
        <v>110</v>
      </c>
      <c r="D22" s="16" t="s">
        <v>104</v>
      </c>
      <c r="E22" s="18" t="s">
        <v>111</v>
      </c>
      <c r="F22" s="16" t="s">
        <v>112</v>
      </c>
      <c r="G22" s="16" t="s">
        <v>91</v>
      </c>
      <c r="H22" s="18"/>
    </row>
    <row r="23" customFormat="false" ht="23.85" hidden="false" customHeight="false" outlineLevel="0" collapsed="false">
      <c r="A23" s="20" t="s">
        <v>113</v>
      </c>
      <c r="B23" s="20" t="s">
        <v>114</v>
      </c>
      <c r="C23" s="21" t="s">
        <v>115</v>
      </c>
      <c r="D23" s="20" t="s">
        <v>116</v>
      </c>
      <c r="E23" s="22" t="s">
        <v>117</v>
      </c>
      <c r="F23" s="23" t="s">
        <v>118</v>
      </c>
      <c r="G23" s="24" t="s">
        <v>55</v>
      </c>
      <c r="H23" s="25" t="s">
        <v>119</v>
      </c>
    </row>
    <row r="24" customFormat="false" ht="15" hidden="false" customHeight="false" outlineLevel="0" collapsed="false">
      <c r="A24" s="20" t="s">
        <v>113</v>
      </c>
      <c r="B24" s="20" t="s">
        <v>114</v>
      </c>
      <c r="C24" s="21" t="s">
        <v>120</v>
      </c>
      <c r="D24" s="20" t="s">
        <v>116</v>
      </c>
      <c r="E24" s="22" t="s">
        <v>121</v>
      </c>
      <c r="F24" s="20" t="s">
        <v>122</v>
      </c>
      <c r="G24" s="24" t="s">
        <v>55</v>
      </c>
      <c r="H24" s="22" t="s">
        <v>64</v>
      </c>
    </row>
    <row r="25" customFormat="false" ht="15" hidden="false" customHeight="false" outlineLevel="0" collapsed="false">
      <c r="A25" s="20" t="s">
        <v>113</v>
      </c>
      <c r="B25" s="20" t="s">
        <v>114</v>
      </c>
      <c r="C25" s="21" t="s">
        <v>123</v>
      </c>
      <c r="D25" s="20" t="s">
        <v>116</v>
      </c>
      <c r="E25" s="22" t="s">
        <v>124</v>
      </c>
      <c r="F25" s="20" t="s">
        <v>122</v>
      </c>
      <c r="G25" s="24" t="s">
        <v>55</v>
      </c>
      <c r="H25" s="22" t="s">
        <v>64</v>
      </c>
    </row>
    <row r="26" customFormat="false" ht="15" hidden="false" customHeight="false" outlineLevel="0" collapsed="false">
      <c r="A26" s="20" t="s">
        <v>113</v>
      </c>
      <c r="B26" s="20" t="s">
        <v>114</v>
      </c>
      <c r="C26" s="21" t="s">
        <v>125</v>
      </c>
      <c r="D26" s="20" t="s">
        <v>116</v>
      </c>
      <c r="E26" s="22" t="s">
        <v>126</v>
      </c>
      <c r="F26" s="20" t="s">
        <v>67</v>
      </c>
      <c r="G26" s="20" t="s">
        <v>70</v>
      </c>
      <c r="H26" s="22"/>
    </row>
    <row r="27" customFormat="false" ht="15" hidden="false" customHeight="false" outlineLevel="0" collapsed="false">
      <c r="A27" s="20" t="s">
        <v>113</v>
      </c>
      <c r="B27" s="20" t="s">
        <v>114</v>
      </c>
      <c r="C27" s="21" t="s">
        <v>127</v>
      </c>
      <c r="D27" s="20" t="s">
        <v>116</v>
      </c>
      <c r="E27" s="22" t="s">
        <v>128</v>
      </c>
      <c r="F27" s="20" t="s">
        <v>67</v>
      </c>
      <c r="G27" s="20" t="s">
        <v>70</v>
      </c>
      <c r="H27" s="22"/>
    </row>
    <row r="28" customFormat="false" ht="23.85" hidden="false" customHeight="false" outlineLevel="0" collapsed="false">
      <c r="A28" s="20" t="s">
        <v>113</v>
      </c>
      <c r="B28" s="20" t="s">
        <v>114</v>
      </c>
      <c r="C28" s="21" t="s">
        <v>129</v>
      </c>
      <c r="D28" s="20" t="s">
        <v>116</v>
      </c>
      <c r="E28" s="22" t="s">
        <v>130</v>
      </c>
      <c r="F28" s="20" t="s">
        <v>131</v>
      </c>
      <c r="G28" s="24" t="s">
        <v>55</v>
      </c>
      <c r="H28" s="22" t="s">
        <v>132</v>
      </c>
    </row>
    <row r="29" customFormat="false" ht="15" hidden="false" customHeight="false" outlineLevel="0" collapsed="false">
      <c r="A29" s="20" t="s">
        <v>113</v>
      </c>
      <c r="B29" s="20" t="s">
        <v>114</v>
      </c>
      <c r="C29" s="21" t="s">
        <v>133</v>
      </c>
      <c r="D29" s="20" t="s">
        <v>116</v>
      </c>
      <c r="E29" s="22" t="s">
        <v>134</v>
      </c>
      <c r="F29" s="20" t="s">
        <v>131</v>
      </c>
      <c r="G29" s="24" t="s">
        <v>55</v>
      </c>
      <c r="H29" s="22" t="s">
        <v>135</v>
      </c>
    </row>
    <row r="30" customFormat="false" ht="15" hidden="false" customHeight="false" outlineLevel="0" collapsed="false">
      <c r="A30" s="20" t="s">
        <v>113</v>
      </c>
      <c r="B30" s="20" t="s">
        <v>114</v>
      </c>
      <c r="C30" s="21" t="s">
        <v>136</v>
      </c>
      <c r="D30" s="20" t="s">
        <v>116</v>
      </c>
      <c r="E30" s="22" t="s">
        <v>137</v>
      </c>
      <c r="F30" s="20" t="s">
        <v>63</v>
      </c>
      <c r="G30" s="20" t="s">
        <v>91</v>
      </c>
      <c r="H30" s="22" t="s">
        <v>138</v>
      </c>
    </row>
    <row r="31" customFormat="false" ht="15" hidden="false" customHeight="false" outlineLevel="0" collapsed="false">
      <c r="A31" s="20" t="s">
        <v>113</v>
      </c>
      <c r="B31" s="20" t="s">
        <v>114</v>
      </c>
      <c r="C31" s="21" t="s">
        <v>139</v>
      </c>
      <c r="D31" s="20" t="s">
        <v>116</v>
      </c>
      <c r="E31" s="22" t="s">
        <v>140</v>
      </c>
      <c r="F31" s="20" t="s">
        <v>141</v>
      </c>
      <c r="G31" s="20" t="s">
        <v>91</v>
      </c>
      <c r="H31" s="22"/>
    </row>
    <row r="32" customFormat="false" ht="15" hidden="false" customHeight="false" outlineLevel="0" collapsed="false">
      <c r="A32" s="20" t="s">
        <v>113</v>
      </c>
      <c r="B32" s="20" t="s">
        <v>114</v>
      </c>
      <c r="C32" s="21" t="s">
        <v>142</v>
      </c>
      <c r="D32" s="20" t="s">
        <v>116</v>
      </c>
      <c r="E32" s="22" t="s">
        <v>143</v>
      </c>
      <c r="F32" s="20" t="s">
        <v>141</v>
      </c>
      <c r="G32" s="20" t="s">
        <v>91</v>
      </c>
      <c r="H32" s="22"/>
    </row>
    <row r="33" customFormat="false" ht="35.05" hidden="false" customHeight="false" outlineLevel="0" collapsed="false">
      <c r="A33" s="20" t="s">
        <v>113</v>
      </c>
      <c r="B33" s="20" t="s">
        <v>114</v>
      </c>
      <c r="C33" s="21" t="s">
        <v>144</v>
      </c>
      <c r="D33" s="20" t="s">
        <v>116</v>
      </c>
      <c r="E33" s="22" t="s">
        <v>145</v>
      </c>
      <c r="F33" s="23" t="s">
        <v>141</v>
      </c>
      <c r="G33" s="20"/>
      <c r="H33" s="25" t="s">
        <v>146</v>
      </c>
    </row>
    <row r="34" customFormat="false" ht="23.85" hidden="false" customHeight="false" outlineLevel="0" collapsed="false">
      <c r="A34" s="26" t="s">
        <v>147</v>
      </c>
      <c r="B34" s="26" t="s">
        <v>148</v>
      </c>
      <c r="C34" s="27" t="s">
        <v>149</v>
      </c>
      <c r="D34" s="26" t="s">
        <v>150</v>
      </c>
      <c r="E34" s="28" t="s">
        <v>151</v>
      </c>
      <c r="F34" s="26" t="s">
        <v>67</v>
      </c>
      <c r="G34" s="29" t="s">
        <v>55</v>
      </c>
      <c r="H34" s="28" t="s">
        <v>152</v>
      </c>
    </row>
    <row r="35" customFormat="false" ht="23.85" hidden="false" customHeight="false" outlineLevel="0" collapsed="false">
      <c r="A35" s="26" t="s">
        <v>147</v>
      </c>
      <c r="B35" s="26" t="s">
        <v>148</v>
      </c>
      <c r="C35" s="27" t="s">
        <v>153</v>
      </c>
      <c r="D35" s="26" t="s">
        <v>150</v>
      </c>
      <c r="E35" s="28" t="s">
        <v>154</v>
      </c>
      <c r="F35" s="26" t="s">
        <v>155</v>
      </c>
      <c r="G35" s="29" t="s">
        <v>55</v>
      </c>
      <c r="H35" s="28" t="s">
        <v>156</v>
      </c>
    </row>
    <row r="36" customFormat="false" ht="23.85" hidden="false" customHeight="false" outlineLevel="0" collapsed="false">
      <c r="A36" s="26" t="s">
        <v>147</v>
      </c>
      <c r="B36" s="26" t="s">
        <v>148</v>
      </c>
      <c r="C36" s="27" t="s">
        <v>157</v>
      </c>
      <c r="D36" s="26" t="s">
        <v>150</v>
      </c>
      <c r="E36" s="28" t="s">
        <v>158</v>
      </c>
      <c r="F36" s="26" t="s">
        <v>67</v>
      </c>
      <c r="G36" s="29" t="s">
        <v>55</v>
      </c>
      <c r="H36" s="28" t="s">
        <v>159</v>
      </c>
    </row>
    <row r="37" customFormat="false" ht="23.85" hidden="false" customHeight="false" outlineLevel="0" collapsed="false">
      <c r="A37" s="26" t="s">
        <v>147</v>
      </c>
      <c r="B37" s="26" t="s">
        <v>148</v>
      </c>
      <c r="C37" s="27" t="s">
        <v>160</v>
      </c>
      <c r="D37" s="26" t="s">
        <v>150</v>
      </c>
      <c r="E37" s="28" t="s">
        <v>161</v>
      </c>
      <c r="F37" s="26" t="s">
        <v>155</v>
      </c>
      <c r="G37" s="29" t="s">
        <v>55</v>
      </c>
      <c r="H37" s="28" t="s">
        <v>162</v>
      </c>
    </row>
    <row r="38" customFormat="false" ht="23.85" hidden="false" customHeight="false" outlineLevel="0" collapsed="false">
      <c r="A38" s="26" t="s">
        <v>147</v>
      </c>
      <c r="B38" s="26" t="s">
        <v>148</v>
      </c>
      <c r="C38" s="27" t="s">
        <v>163</v>
      </c>
      <c r="D38" s="26" t="s">
        <v>164</v>
      </c>
      <c r="E38" s="28" t="s">
        <v>165</v>
      </c>
      <c r="F38" s="26" t="s">
        <v>74</v>
      </c>
      <c r="G38" s="26" t="s">
        <v>70</v>
      </c>
      <c r="H38" s="28" t="s">
        <v>166</v>
      </c>
    </row>
  </sheetData>
  <autoFilter ref="A1:H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5" t="s">
        <v>167</v>
      </c>
      <c r="B1" s="15" t="s">
        <v>168</v>
      </c>
      <c r="C1" s="15" t="s">
        <v>169</v>
      </c>
      <c r="D1" s="15" t="s">
        <v>170</v>
      </c>
    </row>
    <row r="2" customFormat="false" ht="51.75" hidden="false" customHeight="true" outlineLevel="0" collapsed="false">
      <c r="A2" s="30" t="s">
        <v>46</v>
      </c>
      <c r="B2" s="25" t="s">
        <v>171</v>
      </c>
      <c r="C2" s="18" t="s">
        <v>172</v>
      </c>
      <c r="D2" s="1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2026-07-21T18:02:51Z</dcterms:created>
  <dc:creator>openpyxl</dc:creator>
  <dc:description/>
  <dc:language>en-US</dc:language>
  <cp:lastModifiedBy/>
  <dcterms:modified xsi:type="dcterms:W3CDTF">2026-07-21T18:02:51Z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