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nue/Downloads/"/>
    </mc:Choice>
  </mc:AlternateContent>
  <xr:revisionPtr revIDLastSave="0" documentId="13_ncr:20001_{34233307-C76E-E242-AAAE-95DE9E22D1A5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6SS Banda Blanca" sheetId="1" r:id="rId1"/>
    <sheet name="3SS Banda Roja" sheetId="2" r:id="rId2"/>
    <sheet name="Read M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J9" i="2"/>
  <c r="I9" i="2"/>
  <c r="L9" i="2" s="1"/>
  <c r="L7" i="2"/>
  <c r="C7" i="2"/>
  <c r="L6" i="2"/>
  <c r="C6" i="2"/>
  <c r="L5" i="2"/>
  <c r="C5" i="2"/>
  <c r="L4" i="2"/>
  <c r="D4" i="2"/>
  <c r="C4" i="2"/>
  <c r="D6" i="2" s="1"/>
  <c r="K20" i="1"/>
  <c r="J20" i="1"/>
  <c r="I20" i="1"/>
  <c r="L18" i="1"/>
  <c r="C17" i="1"/>
  <c r="L17" i="1"/>
  <c r="C16" i="1"/>
  <c r="L16" i="1"/>
  <c r="C15" i="1"/>
  <c r="L15" i="1"/>
  <c r="C14" i="1"/>
  <c r="L14" i="1"/>
  <c r="C13" i="1"/>
  <c r="L13" i="1"/>
  <c r="C12" i="1"/>
  <c r="L12" i="1"/>
  <c r="C11" i="1"/>
  <c r="L11" i="1"/>
  <c r="C10" i="1"/>
  <c r="L10" i="1"/>
  <c r="C9" i="1"/>
  <c r="L9" i="1"/>
  <c r="C8" i="1"/>
  <c r="L8" i="1"/>
  <c r="C7" i="1"/>
  <c r="L7" i="1"/>
  <c r="C6" i="1"/>
  <c r="L6" i="1"/>
  <c r="C5" i="1"/>
  <c r="L5" i="1"/>
  <c r="C4" i="1"/>
  <c r="D12" i="1" l="1"/>
  <c r="L20" i="1"/>
  <c r="D9" i="1"/>
  <c r="D6" i="1"/>
  <c r="D16" i="1"/>
  <c r="D13" i="1"/>
  <c r="D7" i="2"/>
  <c r="D10" i="1"/>
  <c r="D7" i="1"/>
  <c r="D17" i="1"/>
  <c r="C9" i="2"/>
  <c r="D9" i="2" s="1"/>
  <c r="D4" i="1"/>
  <c r="D14" i="1"/>
  <c r="D11" i="1"/>
  <c r="C19" i="1"/>
  <c r="D19" i="1" s="1"/>
  <c r="D5" i="2"/>
  <c r="D8" i="1"/>
  <c r="D5" i="1"/>
  <c r="D15" i="1"/>
</calcChain>
</file>

<file path=xl/sharedStrings.xml><?xml version="1.0" encoding="utf-8"?>
<sst xmlns="http://schemas.openxmlformats.org/spreadsheetml/2006/main" count="119" uniqueCount="61">
  <si>
    <t>6SS — Banda Blanca Timing</t>
  </si>
  <si>
    <t>Point</t>
  </si>
  <si>
    <t>Lap</t>
  </si>
  <si>
    <t>Avg time from previous (s)</t>
  </si>
  <si>
    <t>Cumulative avg time (s)</t>
  </si>
  <si>
    <t>Notes</t>
  </si>
  <si>
    <t>Run 1</t>
  </si>
  <si>
    <t>Run 2</t>
  </si>
  <si>
    <t>Run 3</t>
  </si>
  <si>
    <t>Avg formula</t>
  </si>
  <si>
    <t>Banda Blanca start</t>
  </si>
  <si>
    <t>—</t>
  </si>
  <si>
    <t>Start = 0</t>
  </si>
  <si>
    <t>SL1 start</t>
  </si>
  <si>
    <t>Lap 1</t>
  </si>
  <si>
    <t>SL1 end</t>
  </si>
  <si>
    <t>Lap 2</t>
  </si>
  <si>
    <t>CL start</t>
  </si>
  <si>
    <t>Lap 3</t>
  </si>
  <si>
    <t>CL end</t>
  </si>
  <si>
    <t>Lap 4</t>
  </si>
  <si>
    <t>SL2 start</t>
  </si>
  <si>
    <t>Lap 5</t>
  </si>
  <si>
    <t>SL2 end</t>
  </si>
  <si>
    <t>Lap 6</t>
  </si>
  <si>
    <t>Imán</t>
  </si>
  <si>
    <t>Lap 7</t>
  </si>
  <si>
    <t>Pre prensa start</t>
  </si>
  <si>
    <t>Lap 8</t>
  </si>
  <si>
    <t>Pre prensa end</t>
  </si>
  <si>
    <t>Lap 9</t>
  </si>
  <si>
    <t>Sprays</t>
  </si>
  <si>
    <t>Lap 10</t>
  </si>
  <si>
    <t>Detector metales</t>
  </si>
  <si>
    <t>Lap 11</t>
  </si>
  <si>
    <t>Cuchillas</t>
  </si>
  <si>
    <t>Lap 12</t>
  </si>
  <si>
    <t>Banda Blanca end</t>
  </si>
  <si>
    <t>Lap 13</t>
  </si>
  <si>
    <t>TOTAL</t>
  </si>
  <si>
    <t>Sum of average lap times</t>
  </si>
  <si>
    <t>3SS — Banda Roja Timing</t>
  </si>
  <si>
    <t>Banda Roja start</t>
  </si>
  <si>
    <t>Vapor start</t>
  </si>
  <si>
    <t>Vapor end</t>
  </si>
  <si>
    <t>Banda Roja end</t>
  </si>
  <si>
    <t>How to read this workbook</t>
  </si>
  <si>
    <t>Rule</t>
  </si>
  <si>
    <t>Start point is time 0. Every lap is the time from the previous point to the next point.</t>
  </si>
  <si>
    <t>Banda Blanca stop</t>
  </si>
  <si>
    <t>Stop = Banda Blanca end, so Lap 13 is Cuchillas → Banda Blanca end.</t>
  </si>
  <si>
    <t>Banda Roja stop</t>
  </si>
  <si>
    <t>Stop = Banda Roja end, so Lap 3 is Vapor end → Banda Roja end.</t>
  </si>
  <si>
    <t>Average</t>
  </si>
  <si>
    <t>Average cells are formulas from the raw run data.</t>
  </si>
  <si>
    <t>Total</t>
  </si>
  <si>
    <t>Total cells are formulas summing the lap averages or raw run values.</t>
  </si>
  <si>
    <t>Edit raw data</t>
  </si>
  <si>
    <t>Change the run columns in the raw data section; averages and totals update automatically.</t>
  </si>
  <si>
    <t>Belt Speed</t>
  </si>
  <si>
    <t>(m/min)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</si>
</sst>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6"/>
      <name val="Carlito"/>
    </font>
    <font>
      <sz val="11"/>
      <color theme="1"/>
      <name val="Carlito"/>
    </font>
    <font>
      <b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49" fontId="0" fillId="0" borderId="0" xfId="0" applyNumberFormat="1"/>
    <xf numFmtId="49" fontId="2" fillId="4" borderId="0" xfId="0" applyNumberFormat="1" applyFont="1" applyFill="1"/>
    <xf numFmtId="2" fontId="2" fillId="4" borderId="0" xfId="0" applyNumberFormat="1" applyFont="1" applyFill="1"/>
    <xf numFmtId="0" fontId="3" fillId="0" borderId="0" xfId="0" applyFont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6SSBandaBlancaTimingAvg" displayName="_6SSBandaBlancaTimingAvg" ref="A3:E19" headerRowDxfId="3">
  <tableColumns count="5">
    <tableColumn id="1" xr3:uid="{00000000-0010-0000-0000-000001000000}" name="Point"/>
    <tableColumn id="2" xr3:uid="{00000000-0010-0000-0000-000002000000}" name="Lap"/>
    <tableColumn id="3" xr3:uid="{00000000-0010-0000-0000-000003000000}" name="Avg time from previous (s)"/>
    <tableColumn id="4" xr3:uid="{00000000-0010-0000-0000-000004000000}" name="Cumulative avg time (s)"/>
    <tableColumn id="5" xr3:uid="{00000000-0010-0000-0000-00000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6SSBandaBlancaTimingRaw" displayName="_6SSBandaBlancaTimingRaw" ref="G3:L20" headerRowDxfId="0">
  <tableColumns count="6">
    <tableColumn id="1" xr3:uid="{00000000-0010-0000-0100-000001000000}" name="Point"/>
    <tableColumn id="2" xr3:uid="{00000000-0010-0000-0100-000002000000}" name="Lap"/>
    <tableColumn id="3" xr3:uid="{00000000-0010-0000-0100-000003000000}" name="Run 1"/>
    <tableColumn id="4" xr3:uid="{00000000-0010-0000-0100-000004000000}" name="Run 2"/>
    <tableColumn id="5" xr3:uid="{00000000-0010-0000-0100-000005000000}" name="Run 3"/>
    <tableColumn id="6" xr3:uid="{00000000-0010-0000-0100-000006000000}" name="Avg formu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3SSBandaRojaTimingAvg" displayName="_3SSBandaRojaTimingAvg" ref="A3:E9" headerRowDxfId="2">
  <tableColumns count="5">
    <tableColumn id="1" xr3:uid="{00000000-0010-0000-0200-000001000000}" name="Point"/>
    <tableColumn id="2" xr3:uid="{00000000-0010-0000-0200-000002000000}" name="Lap"/>
    <tableColumn id="3" xr3:uid="{00000000-0010-0000-0200-000003000000}" name="Avg time from previous (s)"/>
    <tableColumn id="4" xr3:uid="{00000000-0010-0000-0200-000004000000}" name="Cumulative avg time (s)"/>
    <tableColumn id="5" xr3:uid="{00000000-0010-0000-0200-000005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3SSBandaRojaTimingRaw" displayName="_3SSBandaRojaTimingRaw" ref="G3:L9" headerRowDxfId="1">
  <tableColumns count="6">
    <tableColumn id="1" xr3:uid="{00000000-0010-0000-0300-000001000000}" name="Point"/>
    <tableColumn id="2" xr3:uid="{00000000-0010-0000-0300-000002000000}" name="Lap"/>
    <tableColumn id="3" xr3:uid="{00000000-0010-0000-0300-000003000000}" name="Run 1"/>
    <tableColumn id="4" xr3:uid="{00000000-0010-0000-0300-000004000000}" name="Run 2"/>
    <tableColumn id="5" xr3:uid="{00000000-0010-0000-0300-000005000000}" name="Run 3"/>
    <tableColumn id="6" xr3:uid="{00000000-0010-0000-0300-000006000000}" name="Avg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I20" sqref="I20"/>
    </sheetView>
  </sheetViews>
  <sheetFormatPr baseColWidth="10" defaultColWidth="8.83203125" defaultRowHeight="14"/>
  <cols>
    <col min="1" max="1" width="22" customWidth="1"/>
    <col min="2" max="2" width="6.6640625" bestFit="1" customWidth="1"/>
    <col min="3" max="3" width="25" bestFit="1" customWidth="1"/>
    <col min="4" max="4" width="22.33203125" bestFit="1" customWidth="1"/>
    <col min="5" max="5" width="24" customWidth="1"/>
    <col min="7" max="7" width="22" customWidth="1"/>
    <col min="8" max="11" width="6.6640625" bestFit="1" customWidth="1"/>
    <col min="12" max="12" width="9.6640625" customWidth="1"/>
  </cols>
  <sheetData>
    <row r="1" spans="1:13" ht="21">
      <c r="A1" s="8" t="s">
        <v>0</v>
      </c>
      <c r="B1" s="9"/>
      <c r="C1" s="9"/>
      <c r="D1" s="9"/>
      <c r="E1" s="9"/>
      <c r="F1" s="9"/>
      <c r="G1" s="9"/>
      <c r="H1" s="9"/>
    </row>
    <row r="3" spans="1:13" ht="1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G3" s="10" t="s">
        <v>1</v>
      </c>
      <c r="H3" s="10" t="s">
        <v>2</v>
      </c>
      <c r="I3" s="10" t="s">
        <v>6</v>
      </c>
      <c r="J3" s="10" t="s">
        <v>7</v>
      </c>
      <c r="K3" s="10" t="s">
        <v>8</v>
      </c>
      <c r="L3" s="10" t="s">
        <v>9</v>
      </c>
    </row>
    <row r="4" spans="1:13" ht="15">
      <c r="A4" s="2" t="s">
        <v>10</v>
      </c>
      <c r="B4" s="2" t="s">
        <v>11</v>
      </c>
      <c r="C4" s="1">
        <f t="shared" ref="C4:C17" si="0">AVERAGE(I5:K5)</f>
        <v>0</v>
      </c>
      <c r="D4" s="1">
        <f>SUM($C$4:C4)</f>
        <v>0</v>
      </c>
      <c r="E4" s="1" t="s">
        <v>12</v>
      </c>
      <c r="F4" s="1"/>
      <c r="G4" s="10" t="s">
        <v>59</v>
      </c>
      <c r="H4" s="10"/>
      <c r="I4" s="10">
        <v>11.12</v>
      </c>
      <c r="J4" s="10">
        <v>11.11</v>
      </c>
      <c r="K4" s="10">
        <v>11.11</v>
      </c>
      <c r="L4" s="10"/>
      <c r="M4" s="12" t="s">
        <v>60</v>
      </c>
    </row>
    <row r="5" spans="1:13">
      <c r="A5" s="2" t="s">
        <v>13</v>
      </c>
      <c r="B5" s="2" t="s">
        <v>14</v>
      </c>
      <c r="C5" s="1">
        <f t="shared" si="0"/>
        <v>7.6833333333333327</v>
      </c>
      <c r="D5" s="1">
        <f>SUM($C$4:C5)</f>
        <v>7.6833333333333327</v>
      </c>
      <c r="E5" s="1"/>
      <c r="F5" s="1"/>
      <c r="G5" s="2" t="s">
        <v>10</v>
      </c>
      <c r="H5" s="2" t="s">
        <v>11</v>
      </c>
      <c r="I5" s="1">
        <v>0</v>
      </c>
      <c r="J5" s="1">
        <v>0</v>
      </c>
      <c r="K5" s="1">
        <v>0</v>
      </c>
      <c r="L5" s="1">
        <f t="shared" ref="L5:L18" si="1">AVERAGE(I5:K5)</f>
        <v>0</v>
      </c>
    </row>
    <row r="6" spans="1:13">
      <c r="A6" s="2" t="s">
        <v>15</v>
      </c>
      <c r="B6" s="2" t="s">
        <v>16</v>
      </c>
      <c r="C6" s="1">
        <f t="shared" si="0"/>
        <v>37.506666666666668</v>
      </c>
      <c r="D6" s="1">
        <f>SUM($C$4:C6)</f>
        <v>45.19</v>
      </c>
      <c r="E6" s="1"/>
      <c r="F6" s="1"/>
      <c r="G6" s="2" t="s">
        <v>13</v>
      </c>
      <c r="H6" s="2" t="s">
        <v>14</v>
      </c>
      <c r="I6" s="1">
        <v>6.81</v>
      </c>
      <c r="J6" s="1">
        <v>8.61</v>
      </c>
      <c r="K6" s="1">
        <v>7.63</v>
      </c>
      <c r="L6" s="1">
        <f t="shared" si="1"/>
        <v>7.6833333333333327</v>
      </c>
    </row>
    <row r="7" spans="1:13">
      <c r="A7" s="2" t="s">
        <v>17</v>
      </c>
      <c r="B7" s="2" t="s">
        <v>18</v>
      </c>
      <c r="C7" s="1">
        <f t="shared" si="0"/>
        <v>18.09333333333333</v>
      </c>
      <c r="D7" s="1">
        <f>SUM($C$4:C7)</f>
        <v>63.283333333333331</v>
      </c>
      <c r="E7" s="1"/>
      <c r="F7" s="1"/>
      <c r="G7" s="2" t="s">
        <v>15</v>
      </c>
      <c r="H7" s="2" t="s">
        <v>16</v>
      </c>
      <c r="I7" s="1">
        <v>38.96</v>
      </c>
      <c r="J7" s="1">
        <v>37.78</v>
      </c>
      <c r="K7" s="1">
        <v>35.78</v>
      </c>
      <c r="L7" s="1">
        <f t="shared" si="1"/>
        <v>37.506666666666668</v>
      </c>
    </row>
    <row r="8" spans="1:13">
      <c r="A8" s="2" t="s">
        <v>19</v>
      </c>
      <c r="B8" s="2" t="s">
        <v>20</v>
      </c>
      <c r="C8" s="1">
        <f t="shared" si="0"/>
        <v>23.650000000000002</v>
      </c>
      <c r="D8" s="1">
        <f>SUM($C$4:C8)</f>
        <v>86.933333333333337</v>
      </c>
      <c r="E8" s="1"/>
      <c r="F8" s="1"/>
      <c r="G8" s="2" t="s">
        <v>17</v>
      </c>
      <c r="H8" s="2" t="s">
        <v>18</v>
      </c>
      <c r="I8" s="1">
        <v>16.649999999999999</v>
      </c>
      <c r="J8" s="1">
        <v>17.45</v>
      </c>
      <c r="K8" s="1">
        <v>20.18</v>
      </c>
      <c r="L8" s="1">
        <f t="shared" si="1"/>
        <v>18.09333333333333</v>
      </c>
    </row>
    <row r="9" spans="1:13">
      <c r="A9" s="2" t="s">
        <v>21</v>
      </c>
      <c r="B9" s="2" t="s">
        <v>22</v>
      </c>
      <c r="C9" s="1">
        <f t="shared" si="0"/>
        <v>7.4200000000000008</v>
      </c>
      <c r="D9" s="1">
        <f>SUM($C$4:C9)</f>
        <v>94.353333333333339</v>
      </c>
      <c r="E9" s="1"/>
      <c r="F9" s="1"/>
      <c r="G9" s="2" t="s">
        <v>19</v>
      </c>
      <c r="H9" s="2" t="s">
        <v>20</v>
      </c>
      <c r="I9" s="1">
        <v>24.06</v>
      </c>
      <c r="J9" s="1">
        <v>23.44</v>
      </c>
      <c r="K9" s="1">
        <v>23.45</v>
      </c>
      <c r="L9" s="1">
        <f t="shared" si="1"/>
        <v>23.650000000000002</v>
      </c>
    </row>
    <row r="10" spans="1:13">
      <c r="A10" s="2" t="s">
        <v>23</v>
      </c>
      <c r="B10" s="2" t="s">
        <v>24</v>
      </c>
      <c r="C10" s="1">
        <f t="shared" si="0"/>
        <v>34.53</v>
      </c>
      <c r="D10" s="1">
        <f>SUM($C$4:C10)</f>
        <v>128.88333333333333</v>
      </c>
      <c r="E10" s="1"/>
      <c r="F10" s="1"/>
      <c r="G10" s="2" t="s">
        <v>21</v>
      </c>
      <c r="H10" s="2" t="s">
        <v>22</v>
      </c>
      <c r="I10" s="1">
        <v>8.3000000000000007</v>
      </c>
      <c r="J10" s="1">
        <v>6.68</v>
      </c>
      <c r="K10" s="1">
        <v>7.28</v>
      </c>
      <c r="L10" s="1">
        <f t="shared" si="1"/>
        <v>7.4200000000000008</v>
      </c>
    </row>
    <row r="11" spans="1:13">
      <c r="A11" s="2" t="s">
        <v>25</v>
      </c>
      <c r="B11" s="2" t="s">
        <v>26</v>
      </c>
      <c r="C11" s="1">
        <f t="shared" si="0"/>
        <v>15.186666666666667</v>
      </c>
      <c r="D11" s="1">
        <f>SUM($C$4:C11)</f>
        <v>144.07</v>
      </c>
      <c r="E11" s="1"/>
      <c r="F11" s="1"/>
      <c r="G11" s="2" t="s">
        <v>23</v>
      </c>
      <c r="H11" s="2" t="s">
        <v>24</v>
      </c>
      <c r="I11" s="1">
        <v>33.729999999999997</v>
      </c>
      <c r="J11" s="1">
        <v>35.950000000000003</v>
      </c>
      <c r="K11" s="1">
        <v>33.909999999999997</v>
      </c>
      <c r="L11" s="1">
        <f t="shared" si="1"/>
        <v>34.53</v>
      </c>
    </row>
    <row r="12" spans="1:13">
      <c r="A12" s="2" t="s">
        <v>27</v>
      </c>
      <c r="B12" s="2" t="s">
        <v>28</v>
      </c>
      <c r="C12" s="1">
        <f t="shared" si="0"/>
        <v>12.986666666666665</v>
      </c>
      <c r="D12" s="1">
        <f>SUM($C$4:C12)</f>
        <v>157.05666666666667</v>
      </c>
      <c r="E12" s="1"/>
      <c r="F12" s="1"/>
      <c r="G12" s="2" t="s">
        <v>25</v>
      </c>
      <c r="H12" s="2" t="s">
        <v>26</v>
      </c>
      <c r="I12" s="1">
        <v>14.6</v>
      </c>
      <c r="J12" s="1">
        <v>15.01</v>
      </c>
      <c r="K12" s="1">
        <v>15.95</v>
      </c>
      <c r="L12" s="1">
        <f t="shared" si="1"/>
        <v>15.186666666666667</v>
      </c>
    </row>
    <row r="13" spans="1:13">
      <c r="A13" s="2" t="s">
        <v>29</v>
      </c>
      <c r="B13" s="2" t="s">
        <v>30</v>
      </c>
      <c r="C13" s="1">
        <f t="shared" si="0"/>
        <v>25.350000000000005</v>
      </c>
      <c r="D13" s="1">
        <f>SUM($C$4:C13)</f>
        <v>182.40666666666667</v>
      </c>
      <c r="E13" s="1"/>
      <c r="F13" s="1"/>
      <c r="G13" s="2" t="s">
        <v>27</v>
      </c>
      <c r="H13" s="2" t="s">
        <v>28</v>
      </c>
      <c r="I13" s="1">
        <v>13.23</v>
      </c>
      <c r="J13" s="1">
        <v>12.53</v>
      </c>
      <c r="K13" s="1">
        <v>13.2</v>
      </c>
      <c r="L13" s="1">
        <f t="shared" si="1"/>
        <v>12.986666666666665</v>
      </c>
    </row>
    <row r="14" spans="1:13">
      <c r="A14" s="2" t="s">
        <v>31</v>
      </c>
      <c r="B14" s="2" t="s">
        <v>32</v>
      </c>
      <c r="C14" s="1">
        <f t="shared" si="0"/>
        <v>11.963333333333333</v>
      </c>
      <c r="D14" s="1">
        <f>SUM($C$4:C14)</f>
        <v>194.37</v>
      </c>
      <c r="E14" s="1"/>
      <c r="F14" s="1"/>
      <c r="G14" s="2" t="s">
        <v>29</v>
      </c>
      <c r="H14" s="2" t="s">
        <v>30</v>
      </c>
      <c r="I14" s="1">
        <v>25.28</v>
      </c>
      <c r="J14" s="1">
        <v>25.51</v>
      </c>
      <c r="K14" s="1">
        <v>25.26</v>
      </c>
      <c r="L14" s="1">
        <f t="shared" si="1"/>
        <v>25.350000000000005</v>
      </c>
    </row>
    <row r="15" spans="1:13">
      <c r="A15" s="2" t="s">
        <v>33</v>
      </c>
      <c r="B15" s="2" t="s">
        <v>34</v>
      </c>
      <c r="C15" s="1">
        <f t="shared" si="0"/>
        <v>9.1833333333333336</v>
      </c>
      <c r="D15" s="1">
        <f>SUM($C$4:C15)</f>
        <v>203.55333333333334</v>
      </c>
      <c r="E15" s="1"/>
      <c r="F15" s="1"/>
      <c r="G15" s="2" t="s">
        <v>31</v>
      </c>
      <c r="H15" s="2" t="s">
        <v>32</v>
      </c>
      <c r="I15" s="1">
        <v>11.83</v>
      </c>
      <c r="J15" s="1">
        <v>12.26</v>
      </c>
      <c r="K15" s="1">
        <v>11.8</v>
      </c>
      <c r="L15" s="1">
        <f t="shared" si="1"/>
        <v>11.963333333333333</v>
      </c>
    </row>
    <row r="16" spans="1:13">
      <c r="A16" s="2" t="s">
        <v>35</v>
      </c>
      <c r="B16" s="2" t="s">
        <v>36</v>
      </c>
      <c r="C16" s="1">
        <f t="shared" si="0"/>
        <v>10.07</v>
      </c>
      <c r="D16" s="1">
        <f>SUM($C$4:C16)</f>
        <v>213.62333333333333</v>
      </c>
      <c r="E16" s="1"/>
      <c r="F16" s="1"/>
      <c r="G16" s="2" t="s">
        <v>33</v>
      </c>
      <c r="H16" s="2" t="s">
        <v>34</v>
      </c>
      <c r="I16" s="1">
        <v>9.4</v>
      </c>
      <c r="J16" s="1">
        <v>9.65</v>
      </c>
      <c r="K16" s="1">
        <v>8.5</v>
      </c>
      <c r="L16" s="1">
        <f t="shared" si="1"/>
        <v>9.1833333333333336</v>
      </c>
    </row>
    <row r="17" spans="1:12">
      <c r="A17" s="2" t="s">
        <v>37</v>
      </c>
      <c r="B17" s="2" t="s">
        <v>38</v>
      </c>
      <c r="C17" s="1">
        <f t="shared" si="0"/>
        <v>29.233333333333334</v>
      </c>
      <c r="D17" s="1">
        <f>SUM($C$4:C17)</f>
        <v>242.85666666666668</v>
      </c>
      <c r="E17" s="1"/>
      <c r="F17" s="1"/>
      <c r="G17" s="2" t="s">
        <v>35</v>
      </c>
      <c r="H17" s="2" t="s">
        <v>36</v>
      </c>
      <c r="I17" s="1">
        <v>10.35</v>
      </c>
      <c r="J17" s="1">
        <v>9.35</v>
      </c>
      <c r="K17" s="1">
        <v>10.51</v>
      </c>
      <c r="L17" s="1">
        <f t="shared" si="1"/>
        <v>10.07</v>
      </c>
    </row>
    <row r="18" spans="1:12">
      <c r="A18" s="2"/>
      <c r="B18" s="2"/>
      <c r="C18" s="1"/>
      <c r="D18" s="1"/>
      <c r="E18" s="1"/>
      <c r="F18" s="1"/>
      <c r="G18" s="2" t="s">
        <v>37</v>
      </c>
      <c r="H18" s="2" t="s">
        <v>38</v>
      </c>
      <c r="I18" s="1">
        <v>28.8</v>
      </c>
      <c r="J18" s="1">
        <v>29.16</v>
      </c>
      <c r="K18" s="1">
        <v>29.74</v>
      </c>
      <c r="L18" s="1">
        <f t="shared" si="1"/>
        <v>29.233333333333334</v>
      </c>
    </row>
    <row r="19" spans="1:12" ht="15">
      <c r="A19" s="3" t="s">
        <v>39</v>
      </c>
      <c r="B19" s="3"/>
      <c r="C19" s="4">
        <f>SUM(C4:C17)</f>
        <v>242.85666666666668</v>
      </c>
      <c r="D19" s="4">
        <f>C19</f>
        <v>242.85666666666668</v>
      </c>
      <c r="E19" s="4" t="s">
        <v>40</v>
      </c>
      <c r="F19" s="4"/>
      <c r="G19" s="2"/>
      <c r="H19" s="2"/>
      <c r="I19" s="1"/>
      <c r="J19" s="1"/>
      <c r="K19" s="1"/>
      <c r="L19" s="1"/>
    </row>
    <row r="20" spans="1:12" ht="15">
      <c r="G20" s="3" t="s">
        <v>39</v>
      </c>
      <c r="H20" s="3"/>
      <c r="I20" s="4">
        <f>SUM(I5:I18)</f>
        <v>242</v>
      </c>
      <c r="J20" s="4">
        <f>SUM(J5:J18)</f>
        <v>243.38</v>
      </c>
      <c r="K20" s="4">
        <f>SUM(K5:K18)</f>
        <v>243.19</v>
      </c>
      <c r="L20" s="4">
        <f>AVERAGE(I20:K20)</f>
        <v>242.85666666666665</v>
      </c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C9" sqref="C9"/>
    </sheetView>
  </sheetViews>
  <sheetFormatPr baseColWidth="10" defaultColWidth="8.83203125" defaultRowHeight="14"/>
  <cols>
    <col min="1" max="1" width="13.6640625" bestFit="1" customWidth="1"/>
    <col min="2" max="2" width="5.6640625" bestFit="1" customWidth="1"/>
    <col min="3" max="3" width="25" bestFit="1" customWidth="1"/>
    <col min="4" max="4" width="22.33203125" bestFit="1" customWidth="1"/>
    <col min="5" max="5" width="24" customWidth="1"/>
    <col min="7" max="7" width="22" customWidth="1"/>
    <col min="8" max="8" width="5.6640625" bestFit="1" customWidth="1"/>
    <col min="9" max="11" width="6.33203125" bestFit="1" customWidth="1"/>
    <col min="12" max="12" width="12" bestFit="1" customWidth="1"/>
  </cols>
  <sheetData>
    <row r="1" spans="1:13" ht="21">
      <c r="A1" s="8" t="s">
        <v>41</v>
      </c>
      <c r="B1" s="9"/>
      <c r="C1" s="9"/>
      <c r="D1" s="9"/>
      <c r="E1" s="9"/>
      <c r="F1" s="9"/>
      <c r="G1" s="9"/>
      <c r="H1" s="9"/>
    </row>
    <row r="3" spans="1:13" ht="1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1"/>
      <c r="G3" s="10" t="s">
        <v>1</v>
      </c>
      <c r="H3" s="10" t="s">
        <v>2</v>
      </c>
      <c r="I3" s="10" t="s">
        <v>6</v>
      </c>
      <c r="J3" s="10" t="s">
        <v>7</v>
      </c>
      <c r="K3" s="10" t="s">
        <v>8</v>
      </c>
      <c r="L3" s="10" t="s">
        <v>9</v>
      </c>
      <c r="M3" s="11"/>
    </row>
    <row r="4" spans="1:13">
      <c r="A4" s="2" t="s">
        <v>42</v>
      </c>
      <c r="B4" s="2" t="s">
        <v>11</v>
      </c>
      <c r="C4" s="1">
        <f>AVERAGE(I4:K4)</f>
        <v>0</v>
      </c>
      <c r="D4" s="1">
        <f>SUM($C$4:C4)</f>
        <v>0</v>
      </c>
      <c r="E4" s="1" t="s">
        <v>12</v>
      </c>
      <c r="F4" s="1"/>
      <c r="G4" s="2" t="s">
        <v>42</v>
      </c>
      <c r="H4" s="2" t="s">
        <v>11</v>
      </c>
      <c r="I4" s="1">
        <v>0</v>
      </c>
      <c r="J4" s="1">
        <v>0</v>
      </c>
      <c r="K4" s="1">
        <v>0</v>
      </c>
      <c r="L4" s="1">
        <f>AVERAGE(I4:K4)</f>
        <v>0</v>
      </c>
    </row>
    <row r="5" spans="1:13">
      <c r="A5" s="2" t="s">
        <v>43</v>
      </c>
      <c r="B5" s="2" t="s">
        <v>14</v>
      </c>
      <c r="C5" s="1">
        <f>AVERAGE(I5:K5)</f>
        <v>10.040000000000001</v>
      </c>
      <c r="D5" s="1">
        <f>SUM($C$4:C5)</f>
        <v>10.040000000000001</v>
      </c>
      <c r="E5" s="1"/>
      <c r="F5" s="1"/>
      <c r="G5" s="2" t="s">
        <v>43</v>
      </c>
      <c r="H5" s="2" t="s">
        <v>14</v>
      </c>
      <c r="I5" s="1">
        <v>9.66</v>
      </c>
      <c r="J5" s="1">
        <v>10.26</v>
      </c>
      <c r="K5" s="1">
        <v>10.199999999999999</v>
      </c>
      <c r="L5" s="1">
        <f>AVERAGE(I5:K5)</f>
        <v>10.040000000000001</v>
      </c>
    </row>
    <row r="6" spans="1:13">
      <c r="A6" s="2" t="s">
        <v>44</v>
      </c>
      <c r="B6" s="2" t="s">
        <v>16</v>
      </c>
      <c r="C6" s="1">
        <f>AVERAGE(I6:K6)</f>
        <v>12.39</v>
      </c>
      <c r="D6" s="1">
        <f>SUM($C$4:C6)</f>
        <v>22.43</v>
      </c>
      <c r="E6" s="1"/>
      <c r="F6" s="1"/>
      <c r="G6" s="2" t="s">
        <v>44</v>
      </c>
      <c r="H6" s="2" t="s">
        <v>16</v>
      </c>
      <c r="I6" s="1">
        <v>12.38</v>
      </c>
      <c r="J6" s="1">
        <v>12.13</v>
      </c>
      <c r="K6" s="1">
        <v>12.66</v>
      </c>
      <c r="L6" s="1">
        <f>AVERAGE(I6:K6)</f>
        <v>12.39</v>
      </c>
    </row>
    <row r="7" spans="1:13">
      <c r="A7" s="2" t="s">
        <v>45</v>
      </c>
      <c r="B7" s="2" t="s">
        <v>18</v>
      </c>
      <c r="C7" s="1">
        <f>AVERAGE(I7:K7)</f>
        <v>31.753333333333334</v>
      </c>
      <c r="D7" s="1">
        <f>SUM($C$4:C7)</f>
        <v>54.183333333333337</v>
      </c>
      <c r="E7" s="1"/>
      <c r="F7" s="1"/>
      <c r="G7" s="2" t="s">
        <v>45</v>
      </c>
      <c r="H7" s="2" t="s">
        <v>18</v>
      </c>
      <c r="I7" s="1">
        <v>31.65</v>
      </c>
      <c r="J7" s="1">
        <v>32.1</v>
      </c>
      <c r="K7" s="1">
        <v>31.51</v>
      </c>
      <c r="L7" s="1">
        <f>AVERAGE(I7:K7)</f>
        <v>31.753333333333334</v>
      </c>
    </row>
    <row r="8" spans="1:13">
      <c r="A8" s="2"/>
      <c r="B8" s="2"/>
      <c r="C8" s="1"/>
      <c r="D8" s="1"/>
      <c r="E8" s="1"/>
      <c r="F8" s="1"/>
      <c r="G8" s="2"/>
      <c r="H8" s="2"/>
      <c r="I8" s="1"/>
      <c r="J8" s="1"/>
      <c r="K8" s="1"/>
      <c r="L8" s="1"/>
    </row>
    <row r="9" spans="1:13" ht="15">
      <c r="A9" s="3" t="s">
        <v>39</v>
      </c>
      <c r="B9" s="3"/>
      <c r="C9" s="4">
        <f>SUM(C4:C7)</f>
        <v>54.183333333333337</v>
      </c>
      <c r="D9" s="4">
        <f>C9</f>
        <v>54.183333333333337</v>
      </c>
      <c r="E9" s="4" t="s">
        <v>40</v>
      </c>
      <c r="F9" s="4"/>
      <c r="G9" s="3" t="s">
        <v>39</v>
      </c>
      <c r="H9" s="3"/>
      <c r="I9" s="4">
        <f>SUM(I4:I7)</f>
        <v>53.69</v>
      </c>
      <c r="J9" s="4">
        <f>SUM(J4:J7)</f>
        <v>54.49</v>
      </c>
      <c r="K9" s="4">
        <f>SUM(K4:K7)</f>
        <v>54.370000000000005</v>
      </c>
      <c r="L9" s="4">
        <f>AVERAGE(I9:K9)</f>
        <v>54.183333333333337</v>
      </c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4"/>
  <cols>
    <col min="1" max="1" width="22" customWidth="1"/>
    <col min="2" max="2" width="80" customWidth="1"/>
  </cols>
  <sheetData>
    <row r="1" spans="1:2" ht="21">
      <c r="A1" s="5" t="s">
        <v>46</v>
      </c>
    </row>
    <row r="3" spans="1:2" ht="16">
      <c r="A3" s="7" t="s">
        <v>47</v>
      </c>
      <c r="B3" s="7" t="s">
        <v>48</v>
      </c>
    </row>
    <row r="4" spans="1:2" ht="15">
      <c r="A4" s="6" t="s">
        <v>49</v>
      </c>
      <c r="B4" s="6" t="s">
        <v>50</v>
      </c>
    </row>
    <row r="5" spans="1:2" ht="15">
      <c r="A5" s="6" t="s">
        <v>51</v>
      </c>
      <c r="B5" s="6" t="s">
        <v>52</v>
      </c>
    </row>
    <row r="6" spans="1:2" ht="15">
      <c r="A6" s="6" t="s">
        <v>53</v>
      </c>
      <c r="B6" s="6" t="s">
        <v>54</v>
      </c>
    </row>
    <row r="7" spans="1:2" ht="15">
      <c r="A7" s="6" t="s">
        <v>55</v>
      </c>
      <c r="B7" s="6" t="s">
        <v>56</v>
      </c>
    </row>
    <row r="8" spans="1:2" ht="15">
      <c r="A8" s="6" t="s">
        <v>57</v>
      </c>
      <c r="B8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6SS Banda Blanca</vt:lpstr>
      <vt:lpstr>3SS Banda Roja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Maria Montufar</cp:lastModifiedBy>
  <dcterms:created xsi:type="dcterms:W3CDTF">2026-07-01T16:42:21Z</dcterms:created>
  <dcterms:modified xsi:type="dcterms:W3CDTF">2026-07-01T16:46:15Z</dcterms:modified>
</cp:coreProperties>
</file>